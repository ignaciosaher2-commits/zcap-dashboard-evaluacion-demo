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13_ncr:1_{21F335F9-6770-4B9A-B31F-CE39352A6813}" xr6:coauthVersionLast="47" xr6:coauthVersionMax="47" xr10:uidLastSave="{00000000-0000-0000-0000-000000000000}"/>
  <bookViews>
    <workbookView xWindow="-120" yWindow="-120" windowWidth="29040" windowHeight="15840" activeTab="1" xr2:uid="{7198D2D7-FEB7-43A7-8CE9-4B8107E20FA7}"/>
  </bookViews>
  <sheets>
    <sheet name="Instrucciones" sheetId="1" r:id="rId1"/>
    <sheet name="Informació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9" i="3" l="1"/>
  <c r="A19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B14" i="3"/>
  <c r="A20" i="3"/>
  <c r="A21" i="3"/>
  <c r="A22" i="3"/>
  <c r="A23" i="3"/>
</calcChain>
</file>

<file path=xl/sharedStrings.xml><?xml version="1.0" encoding="utf-8"?>
<sst xmlns="http://schemas.openxmlformats.org/spreadsheetml/2006/main" count="82" uniqueCount="82">
  <si>
    <t>Plantilla de evaluación de alumnos</t>
  </si>
  <si>
    <t>Versión del documento | 1.0.0</t>
  </si>
  <si>
    <t>CLIENTE</t>
  </si>
  <si>
    <t>CONTACTO</t>
  </si>
  <si>
    <t>FECHA</t>
  </si>
  <si>
    <t>ESPECIFICACIÓN</t>
  </si>
  <si>
    <t>CURSO</t>
  </si>
  <si>
    <t>Metro de Chile</t>
  </si>
  <si>
    <t>CÓDIGO SENCE</t>
  </si>
  <si>
    <t>Contacto Ficticio</t>
  </si>
  <si>
    <t>INFORMACIÓN</t>
  </si>
  <si>
    <t>Curso de capacitación de ejemplo</t>
  </si>
  <si>
    <t>Curso de ejemplo (DATOS FICTICIOS)</t>
  </si>
  <si>
    <t>RELATOR</t>
  </si>
  <si>
    <t>REGISTRO</t>
  </si>
  <si>
    <t>RUT</t>
  </si>
  <si>
    <t>Relator Ficticio</t>
  </si>
  <si>
    <t>CORREO</t>
  </si>
  <si>
    <t>REF. INTERNA</t>
  </si>
  <si>
    <t>Instrucciones de Uso | INDICE</t>
  </si>
  <si>
    <t>INGRESO DE DATOS</t>
  </si>
  <si>
    <t>Matías Araya Núñez</t>
  </si>
  <si>
    <t>Valentina Núñez Araya</t>
  </si>
  <si>
    <t>Benjamín Pizarro Rojas</t>
  </si>
  <si>
    <t>Fernanda Campos Tapia</t>
  </si>
  <si>
    <t>Sebastián Soto Muñoz</t>
  </si>
  <si>
    <t>Javiera Fuentes Reyes</t>
  </si>
  <si>
    <t>Nicolás Godoy Vera</t>
  </si>
  <si>
    <t>Constanza Vera Godoy</t>
  </si>
  <si>
    <t>Felipe Reyes Fuentes</t>
  </si>
  <si>
    <t>Daniela Muñoz Soto</t>
  </si>
  <si>
    <t>Cristóbal Tapia Campos</t>
  </si>
  <si>
    <t>Camila Rojas Pizarro</t>
  </si>
  <si>
    <t>Matías Fuentes Núñez</t>
  </si>
  <si>
    <t>Valentina Godoy Araya</t>
  </si>
  <si>
    <t>Benjamín Vera Rojas</t>
  </si>
  <si>
    <t>Fernanda Reyes Tapia</t>
  </si>
  <si>
    <t>Sebastián Muñoz Muñoz</t>
  </si>
  <si>
    <t>Javiera Tapia Reyes</t>
  </si>
  <si>
    <t>Nicolás Rojas Vera</t>
  </si>
  <si>
    <t>Constanza Araya Godoy</t>
  </si>
  <si>
    <t>NOMBRE_ALUMNO</t>
  </si>
  <si>
    <t>alumno01@ejemplo.invalid</t>
  </si>
  <si>
    <t>1000007-6</t>
  </si>
  <si>
    <t>alumno02@ejemplo.invalid</t>
  </si>
  <si>
    <t>1000014-9</t>
  </si>
  <si>
    <t>alumno03@ejemplo.invalid</t>
  </si>
  <si>
    <t>1000021-1</t>
  </si>
  <si>
    <t>alumno04@ejemplo.invalid</t>
  </si>
  <si>
    <t>1000028-9</t>
  </si>
  <si>
    <t>alumno05@ejemplo.invalid</t>
  </si>
  <si>
    <t>1000035-1</t>
  </si>
  <si>
    <t>alumno06@ejemplo.invalid</t>
  </si>
  <si>
    <t>1000042-4</t>
  </si>
  <si>
    <t>alumno07@ejemplo.invalid</t>
  </si>
  <si>
    <t>1000049-1</t>
  </si>
  <si>
    <t>alumno08@ejemplo.invalid</t>
  </si>
  <si>
    <t>1000056-4</t>
  </si>
  <si>
    <t>1000063-7</t>
  </si>
  <si>
    <t>1000070-K</t>
  </si>
  <si>
    <t>1000077-7</t>
  </si>
  <si>
    <t>1000084-K</t>
  </si>
  <si>
    <t>1000091-2</t>
  </si>
  <si>
    <t>1000098-K</t>
  </si>
  <si>
    <t>1000105-6</t>
  </si>
  <si>
    <t>1000112-9</t>
  </si>
  <si>
    <t>1000119-6</t>
  </si>
  <si>
    <t>1000126-9</t>
  </si>
  <si>
    <t>1000133-1</t>
  </si>
  <si>
    <t>1000140-4</t>
  </si>
  <si>
    <t>alumno09@ejemplo.invalid</t>
  </si>
  <si>
    <t>alumno10@ejemplo.invalid</t>
  </si>
  <si>
    <t>alumno11@ejemplo.invalid</t>
  </si>
  <si>
    <t>alumno12@ejemplo.invalid</t>
  </si>
  <si>
    <t>alumno13@ejemplo.invalid</t>
  </si>
  <si>
    <t>alumno14@ejemplo.invalid</t>
  </si>
  <si>
    <t>alumno15@ejemplo.invalid</t>
  </si>
  <si>
    <t>alumno16@ejemplo.invalid</t>
  </si>
  <si>
    <t>alumno17@ejemplo.invalid</t>
  </si>
  <si>
    <t>alumno18@ejemplo.invalid</t>
  </si>
  <si>
    <t>alumno19@ejemplo.invalid</t>
  </si>
  <si>
    <t>alumno20@ejemplo.invalid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</si>
</sst>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vertical="top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14" fontId="4" fillId="0" borderId="0" xfId="0" applyNumberFormat="1" applyFont="1" applyAlignment="1">
      <alignment horizontal="left" inden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 indent="3"/>
    </xf>
    <xf numFmtId="0" fontId="4" fillId="0" borderId="0" xfId="0" applyFont="1" applyAlignment="1">
      <alignment horizontal="left" indent="3"/>
    </xf>
    <xf numFmtId="0" fontId="9" fillId="2" borderId="0" xfId="0" applyFont="1" applyFill="1" applyAlignment="1">
      <alignment horizontal="center" vertical="center"/>
    </xf>
  </cellXfs>
  <cellStyles count="3">
    <cellStyle name="Moneda [0] 4" xfId="1" xr:uid="{99815742-C776-4C19-BB21-1852EF50EE9F}"/>
    <cellStyle name="Normal" xfId="0" builtinId="0"/>
    <cellStyle name="Normal 2" xfId="2" xr:uid="{06A0C4E5-077A-4F7F-879C-79DD6B8B41FD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637141</xdr:colOff>
      <xdr:row>6</xdr:row>
      <xdr:rowOff>1229</xdr:rowOff>
    </xdr:from>
    <xdr:to>
      <xdr:col>11</xdr:col>
      <xdr:colOff>394138</xdr:colOff>
      <xdr:row>13</xdr:row>
      <xdr:rowOff>161210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7D02E0-93D0-BFD1-E906-F93CA1CFC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079"/>
        <a:stretch>
          <a:fillRect/>
        </a:stretch>
      </xdr:blipFill>
      <xdr:spPr>
        <a:xfrm>
          <a:off x="5209141" y="1052263"/>
          <a:ext cx="3566997" cy="1309550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  <xdr:twoCellAnchor>
    <xdr:from>
      <xdr:col>0</xdr:col>
      <xdr:colOff>300404</xdr:colOff>
      <xdr:row>6</xdr:row>
      <xdr:rowOff>0</xdr:rowOff>
    </xdr:from>
    <xdr:to>
      <xdr:col>6</xdr:col>
      <xdr:colOff>505558</xdr:colOff>
      <xdr:row>9</xdr:row>
      <xdr:rowOff>124558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BFBAF864-8396-66BC-C40F-0DDDB5D54AA9}"/>
            </a:ext>
          </a:extLst>
        </xdr:cNvPr>
        <xdr:cNvSpPr txBox="1"/>
      </xdr:nvSpPr>
      <xdr:spPr>
        <a:xfrm>
          <a:off x="300404" y="1040423"/>
          <a:ext cx="4777154" cy="60813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 b="0">
              <a:latin typeface="Arial" panose="020B0604020202020204" pitchFamily="34" charset="0"/>
              <a:cs typeface="Arial" panose="020B0604020202020204" pitchFamily="34" charset="0"/>
            </a:rPr>
            <a:t>En</a:t>
          </a:r>
          <a:r>
            <a:rPr lang="es-CL" sz="1100" b="0" baseline="0">
              <a:latin typeface="Arial" panose="020B0604020202020204" pitchFamily="34" charset="0"/>
              <a:cs typeface="Arial" panose="020B0604020202020204" pitchFamily="34" charset="0"/>
            </a:rPr>
            <a:t> la hoja de "Información" se debe hacer relleno de la información correspondiente de cada uno de los campos para que la Base de Datos se vaya complementando de manera automatica.</a:t>
          </a:r>
        </a:p>
      </xdr:txBody>
    </xdr:sp>
    <xdr:clientData/>
  </xdr:twoCellAnchor>
  <xdr:twoCellAnchor editAs="oneCell">
    <xdr:from>
      <xdr:col>6</xdr:col>
      <xdr:colOff>643758</xdr:colOff>
      <xdr:row>14</xdr:row>
      <xdr:rowOff>70232</xdr:rowOff>
    </xdr:from>
    <xdr:to>
      <xdr:col>13</xdr:col>
      <xdr:colOff>249621</xdr:colOff>
      <xdr:row>20</xdr:row>
      <xdr:rowOff>105104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705414-EC80-9497-BD6B-80FD824E92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579"/>
        <a:stretch>
          <a:fillRect/>
        </a:stretch>
      </xdr:blipFill>
      <xdr:spPr>
        <a:xfrm>
          <a:off x="5215758" y="2435060"/>
          <a:ext cx="4939863" cy="1020216"/>
        </a:xfrm>
        <a:prstGeom prst="rect">
          <a:avLst/>
        </a:prstGeom>
        <a:ln>
          <a:solidFill>
            <a:schemeClr val="bg2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101203</xdr:rowOff>
    </xdr:from>
    <xdr:to>
      <xdr:col>1</xdr:col>
      <xdr:colOff>2637235</xdr:colOff>
      <xdr:row>5</xdr:row>
      <xdr:rowOff>3059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2389606-303F-9101-9B2B-973682CC2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03"/>
          <a:ext cx="3750469" cy="74262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0FE7A2-228F-4176-BD84-5E9D14F7F25E}" name="Tabla1" displayName="Tabla1" ref="A18:D38" totalsRowShown="0" headerRowDxfId="6" dataDxfId="4" headerRowBorderDxfId="5">
  <autoFilter ref="A18:D38" xr:uid="{390FE7A2-228F-4176-BD84-5E9D14F7F25E}"/>
  <tableColumns count="4">
    <tableColumn id="1" xr3:uid="{9157E097-5E81-4C03-8DE3-09DCDB3992B5}" name="REGISTRO" dataDxfId="3">
      <calculatedColumnFormula>IF($B19="","",UPPER(LEFT($B$8,3))&amp;"-"&amp;TEXT(COUNTA($B$19:$B38),"000"))</calculatedColumnFormula>
    </tableColumn>
    <tableColumn id="3" xr3:uid="{2867EC7B-9848-4F55-B545-ABD236B6E942}" name="NOMBRE_ALUMNO" dataDxfId="2"/>
    <tableColumn id="4" xr3:uid="{91CC89F3-134A-40E0-BF01-791DF793EC73}" name="RUT" dataDxfId="1"/>
    <tableColumn id="5" xr3:uid="{C66F8589-E962-4300-89F9-8991EEAD5CB1}" name="CORREO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EEA7-D0D2-4206-9AA6-0F8D062D8ED9}">
  <dimension ref="A1:A7"/>
  <sheetViews>
    <sheetView showGridLines="0" zoomScale="145" zoomScaleNormal="145" workbookViewId="0">
      <selection activeCell="A14" sqref="A14"/>
    </sheetView>
  </sheetViews>
  <sheetFormatPr baseColWidth="10" defaultRowHeight="12.75" x14ac:dyDescent="0.2"/>
  <cols>
    <col min="1" max="16384" width="11.42578125" style="3"/>
  </cols>
  <sheetData>
    <row r="1" spans="1:1" s="2" customFormat="1" ht="15.75" x14ac:dyDescent="0.25">
      <c r="A1" s="1" t="s">
        <v>0</v>
      </c>
    </row>
    <row r="2" spans="1:1" x14ac:dyDescent="0.2">
      <c r="A2" s="4" t="s">
        <v>1</v>
      </c>
    </row>
    <row r="4" spans="1:1" ht="15.75" x14ac:dyDescent="0.25">
      <c r="A4" s="6" t="s">
        <v>19</v>
      </c>
    </row>
    <row r="6" spans="1:1" x14ac:dyDescent="0.2">
      <c r="A6" s="15" t="s">
        <v>20</v>
      </c>
    </row>
    <row r="7" spans="1:1" x14ac:dyDescent="0.2">
      <c r="A7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64E-BD90-4BFC-873F-647A79BA7412}">
  <dimension ref="A2:D43"/>
  <sheetViews>
    <sheetView showGridLines="0" tabSelected="1" topLeftCell="A18" zoomScale="130" zoomScaleNormal="130" workbookViewId="0">
      <selection activeCell="G10" sqref="G10"/>
    </sheetView>
  </sheetViews>
  <sheetFormatPr baseColWidth="10" defaultRowHeight="12.75" x14ac:dyDescent="0.2"/>
  <cols>
    <col min="1" max="1" width="16.7109375" style="3" customWidth="1"/>
    <col min="2" max="2" width="42.85546875" style="3" customWidth="1"/>
    <col min="3" max="3" width="24.85546875" style="3" customWidth="1"/>
    <col min="4" max="4" width="26" style="3" customWidth="1"/>
    <col min="5" max="5" width="13.28515625" style="3" customWidth="1"/>
    <col min="6" max="6" width="20.28515625" style="3" customWidth="1"/>
    <col min="7" max="16384" width="11.42578125" style="3"/>
  </cols>
  <sheetData>
    <row r="2" spans="1:2" x14ac:dyDescent="0.2">
      <c r="B2" s="5"/>
    </row>
    <row r="3" spans="1:2" x14ac:dyDescent="0.2">
      <c r="B3" s="9"/>
    </row>
    <row r="5" spans="1:2" ht="15.75" x14ac:dyDescent="0.25">
      <c r="A5" s="6"/>
    </row>
    <row r="6" spans="1:2" ht="15.75" x14ac:dyDescent="0.2">
      <c r="A6" s="17" t="s">
        <v>10</v>
      </c>
      <c r="B6" s="17"/>
    </row>
    <row r="7" spans="1:2" x14ac:dyDescent="0.2">
      <c r="A7" s="7" t="s">
        <v>6</v>
      </c>
      <c r="B7" s="12" t="s">
        <v>12</v>
      </c>
    </row>
    <row r="8" spans="1:2" x14ac:dyDescent="0.2">
      <c r="A8" s="7" t="s">
        <v>2</v>
      </c>
      <c r="B8" s="12" t="s">
        <v>7</v>
      </c>
    </row>
    <row r="9" spans="1:2" x14ac:dyDescent="0.2">
      <c r="A9" s="7" t="s">
        <v>8</v>
      </c>
      <c r="B9" s="12">
        <v>1234567</v>
      </c>
    </row>
    <row r="10" spans="1:2" x14ac:dyDescent="0.2">
      <c r="A10" s="7" t="s">
        <v>3</v>
      </c>
      <c r="B10" s="12" t="s">
        <v>9</v>
      </c>
    </row>
    <row r="11" spans="1:2" x14ac:dyDescent="0.2">
      <c r="A11" s="7" t="s">
        <v>13</v>
      </c>
      <c r="B11" s="12" t="s">
        <v>16</v>
      </c>
    </row>
    <row r="12" spans="1:2" x14ac:dyDescent="0.2">
      <c r="A12" s="7"/>
      <c r="B12" s="12"/>
    </row>
    <row r="13" spans="1:2" x14ac:dyDescent="0.2">
      <c r="A13" s="7" t="s">
        <v>4</v>
      </c>
      <c r="B13" s="13">
        <v>46301</v>
      </c>
    </row>
    <row r="14" spans="1:2" x14ac:dyDescent="0.2">
      <c r="A14" s="7" t="s">
        <v>18</v>
      </c>
      <c r="B14" s="13" t="str">
        <f>CONCATENATE(UPPER(LEFT(B8,3)),"-",B9)</f>
        <v>MET-1234567</v>
      </c>
    </row>
    <row r="15" spans="1:2" x14ac:dyDescent="0.2">
      <c r="A15" s="7" t="s">
        <v>5</v>
      </c>
      <c r="B15" s="12" t="s">
        <v>11</v>
      </c>
    </row>
    <row r="16" spans="1:2" x14ac:dyDescent="0.2">
      <c r="A16" s="7"/>
    </row>
    <row r="17" spans="1:4" x14ac:dyDescent="0.2">
      <c r="A17" s="7"/>
    </row>
    <row r="18" spans="1:4" ht="13.5" thickBot="1" x14ac:dyDescent="0.25">
      <c r="A18" s="11" t="s">
        <v>14</v>
      </c>
      <c r="B18" s="10" t="s">
        <v>41</v>
      </c>
      <c r="C18" s="10" t="s">
        <v>15</v>
      </c>
      <c r="D18" s="10" t="s">
        <v>17</v>
      </c>
    </row>
    <row r="19" spans="1:4" ht="13.5" thickTop="1" x14ac:dyDescent="0.2">
      <c r="A19" s="8" t="str">
        <f>IF($B19="","",UPPER(LEFT($B$8,3))&amp;"-"&amp;TEXT(COUNTA($B$19:$B19),"000"))</f>
        <v>MET-001</v>
      </c>
      <c r="B19" s="3" t="s">
        <v>21</v>
      </c>
      <c r="C19" s="3" t="s">
        <v>43</v>
      </c>
      <c r="D19" s="3" t="s">
        <v>42</v>
      </c>
    </row>
    <row r="20" spans="1:4" x14ac:dyDescent="0.2">
      <c r="A20" s="8" t="str">
        <f>IF($B20="","",UPPER(LEFT($B$8,3))&amp;"-"&amp;TEXT(COUNTA($B$19:$B20),"000"))</f>
        <v>MET-002</v>
      </c>
      <c r="B20" s="3" t="s">
        <v>22</v>
      </c>
      <c r="C20" s="3" t="s">
        <v>45</v>
      </c>
      <c r="D20" s="3" t="s">
        <v>44</v>
      </c>
    </row>
    <row r="21" spans="1:4" x14ac:dyDescent="0.2">
      <c r="A21" s="8" t="str">
        <f>IF($B21="","",UPPER(LEFT($B$8,3))&amp;"-"&amp;TEXT(COUNTA($B$19:$B21),"000"))</f>
        <v>MET-003</v>
      </c>
      <c r="B21" s="3" t="s">
        <v>23</v>
      </c>
      <c r="C21" s="3" t="s">
        <v>47</v>
      </c>
      <c r="D21" s="3" t="s">
        <v>46</v>
      </c>
    </row>
    <row r="22" spans="1:4" x14ac:dyDescent="0.2">
      <c r="A22" s="8" t="str">
        <f>IF($B22="","",UPPER(LEFT($B$8,3))&amp;"-"&amp;TEXT(COUNTA($B$19:$B22),"000"))</f>
        <v>MET-004</v>
      </c>
      <c r="B22" s="3" t="s">
        <v>24</v>
      </c>
      <c r="C22" s="3" t="s">
        <v>49</v>
      </c>
      <c r="D22" s="3" t="s">
        <v>48</v>
      </c>
    </row>
    <row r="23" spans="1:4" x14ac:dyDescent="0.2">
      <c r="A23" s="8" t="str">
        <f>IF($B23="","",UPPER(LEFT($B$8,3))&amp;"-"&amp;TEXT(COUNTA($B$19:$B23),"000"))</f>
        <v>MET-005</v>
      </c>
      <c r="B23" s="3" t="s">
        <v>25</v>
      </c>
      <c r="C23" s="3" t="s">
        <v>51</v>
      </c>
      <c r="D23" s="3" t="s">
        <v>50</v>
      </c>
    </row>
    <row r="24" spans="1:4" x14ac:dyDescent="0.2">
      <c r="A24" s="8" t="str">
        <f>IF($B24="","",UPPER(LEFT($B$8,3))&amp;"-"&amp;TEXT(COUNTA($B$19:$B24),"000"))</f>
        <v>MET-006</v>
      </c>
      <c r="B24" s="3" t="s">
        <v>26</v>
      </c>
      <c r="C24" s="3" t="s">
        <v>53</v>
      </c>
      <c r="D24" s="3" t="s">
        <v>52</v>
      </c>
    </row>
    <row r="25" spans="1:4" x14ac:dyDescent="0.2">
      <c r="A25" s="8" t="str">
        <f>IF($B25="","",UPPER(LEFT($B$8,3))&amp;"-"&amp;TEXT(COUNTA($B$19:$B25),"000"))</f>
        <v>MET-007</v>
      </c>
      <c r="B25" s="3" t="s">
        <v>27</v>
      </c>
      <c r="C25" s="3" t="s">
        <v>55</v>
      </c>
      <c r="D25" s="3" t="s">
        <v>54</v>
      </c>
    </row>
    <row r="26" spans="1:4" x14ac:dyDescent="0.2">
      <c r="A26" s="8" t="str">
        <f>IF($B26="","",UPPER(LEFT($B$8,3))&amp;"-"&amp;TEXT(COUNTA($B$19:$B26),"000"))</f>
        <v>MET-008</v>
      </c>
      <c r="B26" s="3" t="s">
        <v>28</v>
      </c>
      <c r="C26" s="3" t="s">
        <v>57</v>
      </c>
      <c r="D26" s="3" t="s">
        <v>56</v>
      </c>
    </row>
    <row r="27" spans="1:4" x14ac:dyDescent="0.2">
      <c r="A27" s="8" t="str">
        <f>IF($B27="","",UPPER(LEFT($B$8,3))&amp;"-"&amp;TEXT(COUNTA($B$19:$B27),"000"))</f>
        <v>MET-009</v>
      </c>
      <c r="B27" s="3" t="s">
        <v>29</v>
      </c>
      <c r="C27" s="3" t="s">
        <v>58</v>
      </c>
      <c r="D27" s="3" t="s">
        <v>70</v>
      </c>
    </row>
    <row r="28" spans="1:4" x14ac:dyDescent="0.2">
      <c r="A28" s="8" t="str">
        <f>IF($B28="","",UPPER(LEFT($B$8,3))&amp;"-"&amp;TEXT(COUNTA($B$19:$B28),"000"))</f>
        <v>MET-010</v>
      </c>
      <c r="B28" s="3" t="s">
        <v>30</v>
      </c>
      <c r="C28" s="3" t="s">
        <v>59</v>
      </c>
      <c r="D28" s="3" t="s">
        <v>71</v>
      </c>
    </row>
    <row r="29" spans="1:4" x14ac:dyDescent="0.2">
      <c r="A29" s="8" t="str">
        <f>IF($B29="","",UPPER(LEFT($B$8,3))&amp;"-"&amp;TEXT(COUNTA($B$19:$B29),"000"))</f>
        <v>MET-011</v>
      </c>
      <c r="B29" s="3" t="s">
        <v>31</v>
      </c>
      <c r="C29" s="3" t="s">
        <v>60</v>
      </c>
      <c r="D29" s="3" t="s">
        <v>72</v>
      </c>
    </row>
    <row r="30" spans="1:4" x14ac:dyDescent="0.2">
      <c r="A30" s="8" t="str">
        <f>IF($B30="","",UPPER(LEFT($B$8,3))&amp;"-"&amp;TEXT(COUNTA($B$19:$B30),"000"))</f>
        <v>MET-012</v>
      </c>
      <c r="B30" s="3" t="s">
        <v>32</v>
      </c>
      <c r="C30" s="3" t="s">
        <v>61</v>
      </c>
      <c r="D30" s="3" t="s">
        <v>73</v>
      </c>
    </row>
    <row r="31" spans="1:4" x14ac:dyDescent="0.2">
      <c r="A31" s="8" t="str">
        <f>IF($B31="","",UPPER(LEFT($B$8,3))&amp;"-"&amp;TEXT(COUNTA($B$19:$B31),"000"))</f>
        <v>MET-013</v>
      </c>
      <c r="B31" s="3" t="s">
        <v>33</v>
      </c>
      <c r="C31" s="3" t="s">
        <v>62</v>
      </c>
      <c r="D31" s="3" t="s">
        <v>74</v>
      </c>
    </row>
    <row r="32" spans="1:4" x14ac:dyDescent="0.2">
      <c r="A32" s="8" t="str">
        <f>IF($B32="","",UPPER(LEFT($B$8,3))&amp;"-"&amp;TEXT(COUNTA($B$19:$B32),"000"))</f>
        <v>MET-014</v>
      </c>
      <c r="B32" s="3" t="s">
        <v>34</v>
      </c>
      <c r="C32" s="3" t="s">
        <v>63</v>
      </c>
      <c r="D32" s="3" t="s">
        <v>75</v>
      </c>
    </row>
    <row r="33" spans="1:4" x14ac:dyDescent="0.2">
      <c r="A33" s="8" t="str">
        <f>IF($B33="","",UPPER(LEFT($B$8,3))&amp;"-"&amp;TEXT(COUNTA($B$19:$B33),"000"))</f>
        <v>MET-015</v>
      </c>
      <c r="B33" s="3" t="s">
        <v>35</v>
      </c>
      <c r="C33" s="3" t="s">
        <v>64</v>
      </c>
      <c r="D33" s="3" t="s">
        <v>76</v>
      </c>
    </row>
    <row r="34" spans="1:4" x14ac:dyDescent="0.2">
      <c r="A34" s="8" t="str">
        <f>IF($B34="","",UPPER(LEFT($B$8,3))&amp;"-"&amp;TEXT(COUNTA($B$19:$B34),"000"))</f>
        <v>MET-016</v>
      </c>
      <c r="B34" s="3" t="s">
        <v>36</v>
      </c>
      <c r="C34" s="3" t="s">
        <v>65</v>
      </c>
      <c r="D34" s="3" t="s">
        <v>77</v>
      </c>
    </row>
    <row r="35" spans="1:4" x14ac:dyDescent="0.2">
      <c r="A35" s="8" t="str">
        <f>IF($B35="","",UPPER(LEFT($B$8,3))&amp;"-"&amp;TEXT(COUNTA($B$19:$B35),"000"))</f>
        <v>MET-017</v>
      </c>
      <c r="B35" s="3" t="s">
        <v>37</v>
      </c>
      <c r="C35" s="3" t="s">
        <v>66</v>
      </c>
      <c r="D35" s="3" t="s">
        <v>78</v>
      </c>
    </row>
    <row r="36" spans="1:4" x14ac:dyDescent="0.2">
      <c r="A36" s="8" t="str">
        <f>IF($B36="","",UPPER(LEFT($B$8,3))&amp;"-"&amp;TEXT(COUNTA($B$19:$B36),"000"))</f>
        <v>MET-018</v>
      </c>
      <c r="B36" s="3" t="s">
        <v>38</v>
      </c>
      <c r="C36" s="3" t="s">
        <v>67</v>
      </c>
      <c r="D36" s="3" t="s">
        <v>79</v>
      </c>
    </row>
    <row r="37" spans="1:4" x14ac:dyDescent="0.2">
      <c r="A37" s="8" t="str">
        <f>IF($B37="","",UPPER(LEFT($B$8,3))&amp;"-"&amp;TEXT(COUNTA($B$19:$B37),"000"))</f>
        <v>MET-019</v>
      </c>
      <c r="B37" s="3" t="s">
        <v>39</v>
      </c>
      <c r="C37" s="3" t="s">
        <v>68</v>
      </c>
      <c r="D37" s="3" t="s">
        <v>80</v>
      </c>
    </row>
    <row r="38" spans="1:4" x14ac:dyDescent="0.2">
      <c r="A38" s="8" t="str">
        <f>IF($B38="","",UPPER(LEFT($B$8,3))&amp;"-"&amp;TEXT(COUNTA($B$19:$B38),"000"))</f>
        <v>MET-020</v>
      </c>
      <c r="B38" s="3" t="s">
        <v>40</v>
      </c>
      <c r="C38" s="3" t="s">
        <v>69</v>
      </c>
      <c r="D38" s="3" t="s">
        <v>81</v>
      </c>
    </row>
    <row r="39" spans="1:4" ht="15" x14ac:dyDescent="0.25">
      <c r="A39" s="14" t="str">
        <f>IF($B39="","",UPPER(LEFT($B$8,3))&amp;"-"&amp;TEXT(COUNTA($B$19:$B38),"000"))</f>
        <v/>
      </c>
    </row>
    <row r="40" spans="1:4" x14ac:dyDescent="0.2">
      <c r="A40" s="8"/>
    </row>
    <row r="41" spans="1:4" x14ac:dyDescent="0.2">
      <c r="A41" s="8"/>
    </row>
    <row r="42" spans="1:4" x14ac:dyDescent="0.2">
      <c r="A42" s="8"/>
    </row>
    <row r="43" spans="1:4" x14ac:dyDescent="0.2">
      <c r="A43" s="8"/>
    </row>
  </sheetData>
  <mergeCells count="1">
    <mergeCell ref="A6:B6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Información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ZCAP</dc:creator>
  <cp:lastModifiedBy>ZCAP</cp:lastModifiedBy>
  <dcterms:created xsi:type="dcterms:W3CDTF">2026-10-07T15:52:04Z</dcterms:created>
  <dcterms:modified xsi:type="dcterms:W3CDTF">2026-10-14T19:21:07Z</dcterms:modified>
</cp:coreProperties>
</file>